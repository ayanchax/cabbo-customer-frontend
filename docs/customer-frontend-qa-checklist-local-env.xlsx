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yanc\OneDrive\Desktop\cabbo-frontends\cabbo-customer-frontend\docs\"/>
    </mc:Choice>
  </mc:AlternateContent>
  <xr:revisionPtr revIDLastSave="0" documentId="13_ncr:1_{CBCE4B94-B6EB-4002-B9E1-BDFC53B74575}" xr6:coauthVersionLast="47" xr6:coauthVersionMax="47" xr10:uidLastSave="{00000000-0000-0000-0000-000000000000}"/>
  <bookViews>
    <workbookView xWindow="-110" yWindow="-110" windowWidth="19420" windowHeight="10300" activeTab="2" xr2:uid="{00000000-000D-0000-FFFF-FFFF00000000}"/>
  </bookViews>
  <sheets>
    <sheet name="Dashboard" sheetId="1" r:id="rId1"/>
    <sheet name="Test Accounts" sheetId="2" r:id="rId2"/>
    <sheet name="Checklist" sheetId="3" r:id="rId3"/>
    <sheet name="Defects Log" sheetId="4" r:id="rId4"/>
  </sheets>
  <definedNames>
    <definedName name="_xlnm._FilterDatabase" localSheetId="2" hidden="1">Checklist!$A$1:$L$57</definedName>
  </definedNames>
  <calcPr calcId="191029"/>
</workbook>
</file>

<file path=xl/calcChain.xml><?xml version="1.0" encoding="utf-8"?>
<calcChain xmlns="http://schemas.openxmlformats.org/spreadsheetml/2006/main">
  <c r="B8" i="1" l="1"/>
  <c r="B6" i="1"/>
  <c r="B5" i="1"/>
  <c r="B4" i="1"/>
  <c r="B7" i="1"/>
  <c r="B3" i="1"/>
</calcChain>
</file>

<file path=xl/sharedStrings.xml><?xml version="1.0" encoding="utf-8"?>
<sst xmlns="http://schemas.openxmlformats.org/spreadsheetml/2006/main" count="562" uniqueCount="264">
  <si>
    <t>Generated for local QA run</t>
  </si>
  <si>
    <t>Total checklist items</t>
  </si>
  <si>
    <t>Passed</t>
  </si>
  <si>
    <t>Failed</t>
  </si>
  <si>
    <t>Blocked</t>
  </si>
  <si>
    <t>Not started</t>
  </si>
  <si>
    <t>Open P0/P1 defects</t>
  </si>
  <si>
    <t>Local environment</t>
  </si>
  <si>
    <t>Frontend local + backend local + Razorpay test mode</t>
  </si>
  <si>
    <t>Trip types</t>
  </si>
  <si>
    <t>Local hourly rental; airport pickup; airport drop-off; outstation</t>
  </si>
  <si>
    <t>Persona</t>
  </si>
  <si>
    <t>Phone Verified</t>
  </si>
  <si>
    <t>Email Verified</t>
  </si>
  <si>
    <t>Use For</t>
  </si>
  <si>
    <t>Login Identifier</t>
  </si>
  <si>
    <t>Password / OTP Notes</t>
  </si>
  <si>
    <t>Notes</t>
  </si>
  <si>
    <t>Yes</t>
  </si>
  <si>
    <t>Login, profile verified-email checks, normal booking/payment flows</t>
  </si>
  <si>
    <t>No</t>
  </si>
  <si>
    <t>Email-unverified profile and verification recovery checks</t>
  </si>
  <si>
    <t>Section</t>
  </si>
  <si>
    <t>Area</t>
  </si>
  <si>
    <t>Trip Type</t>
  </si>
  <si>
    <t>Customer Persona</t>
  </si>
  <si>
    <t>Task</t>
  </si>
  <si>
    <t>Expected Result</t>
  </si>
  <si>
    <t>Status</t>
  </si>
  <si>
    <t>Tester</t>
  </si>
  <si>
    <t>Date</t>
  </si>
  <si>
    <t>Evidence Link</t>
  </si>
  <si>
    <t>Issue Link</t>
  </si>
  <si>
    <t>Setup</t>
  </si>
  <si>
    <t>Customer accounts</t>
  </si>
  <si>
    <t>All</t>
  </si>
  <si>
    <t>Phone verified / email verified</t>
  </si>
  <si>
    <t>Sign in with verified-email customer</t>
  </si>
  <si>
    <t>Login works and profile shows email verified</t>
  </si>
  <si>
    <t>Not Started</t>
  </si>
  <si>
    <t>Phone verified / email unverified</t>
  </si>
  <si>
    <t>Sign in with unverified-email customer</t>
  </si>
  <si>
    <t>Login works and profile shows email unverified state</t>
  </si>
  <si>
    <t>1</t>
  </si>
  <si>
    <t>Search card</t>
  </si>
  <si>
    <t>All trip types</t>
  </si>
  <si>
    <t>Either</t>
  </si>
  <si>
    <t>Search pickup and drop locations</t>
  </si>
  <si>
    <t>Pickup/drop values remain stable after selection</t>
  </si>
  <si>
    <t>Select recent location suggestions</t>
  </si>
  <si>
    <t>Recent suggestions are ordered by latest selection</t>
  </si>
  <si>
    <t>Use current location from pickup field</t>
  </si>
  <si>
    <t>Current location is user-triggered and not forced on mount</t>
  </si>
  <si>
    <t>Clear pickup/drop and reselect</t>
  </si>
  <si>
    <t>Old suggestions/loading states do not clash</t>
  </si>
  <si>
    <t>Classification</t>
  </si>
  <si>
    <t>Local hourly</t>
  </si>
  <si>
    <t>Search local-city style route</t>
  </si>
  <si>
    <t>User lands on local hourly flow</t>
  </si>
  <si>
    <t>Airport pickup</t>
  </si>
  <si>
    <t>Search airport pickup route</t>
  </si>
  <si>
    <t>User lands on airport pickup flow</t>
  </si>
  <si>
    <t>Airport drop-off</t>
  </si>
  <si>
    <t>Search airport drop route</t>
  </si>
  <si>
    <t>User lands on airport drop-off flow</t>
  </si>
  <si>
    <t>Outstation</t>
  </si>
  <si>
    <t>Search outstation route</t>
  </si>
  <si>
    <t>User lands on outstation flow</t>
  </si>
  <si>
    <t>Preferences</t>
  </si>
  <si>
    <t>Set preferences, go to results, navigate back</t>
  </si>
  <si>
    <t>Date/time, passengers, luggage, airport fields, hops, and return date restore correctly</t>
  </si>
  <si>
    <t>2</t>
  </si>
  <si>
    <t>No rides</t>
  </si>
  <si>
    <t>Search with high passenger/luggage preferences</t>
  </si>
  <si>
    <t>Friendly no-rides state appears with no raw backend error</t>
  </si>
  <si>
    <t>API failure</t>
  </si>
  <si>
    <t>Trigger location/search/package API error</t>
  </si>
  <si>
    <t>Readable error state with useful recovery; no stale data confusion</t>
  </si>
  <si>
    <t>3</t>
  </si>
  <si>
    <t>Ride selection</t>
  </si>
  <si>
    <t>Review ride option list</t>
  </si>
  <si>
    <t>Options sort/rank correctly; fare and policy link are clear</t>
  </si>
  <si>
    <t>Ride metadata</t>
  </si>
  <si>
    <t>Check best-choice, roof-carrier, add-on, and disclaimer display</t>
  </si>
  <si>
    <t>Tags appear only where backend marks them and text is readable</t>
  </si>
  <si>
    <t>Outstation details</t>
  </si>
  <si>
    <t>Review trip days, included kms, round-trip copy, and route timeline</t>
  </si>
  <si>
    <t>Outstation-specific details are accurate and not misleading</t>
  </si>
  <si>
    <t>4</t>
  </si>
  <si>
    <t>Payment success</t>
  </si>
  <si>
    <t>Complete Razorpay test payment</t>
  </si>
  <si>
    <t>Backend verifies payment and confirmed booking ID appears</t>
  </si>
  <si>
    <t>Payment failure</t>
  </si>
  <si>
    <t>Cancel/fail Razorpay payment</t>
  </si>
  <si>
    <t>User can retry; cleanup is attempted; no confirmed booking is created</t>
  </si>
  <si>
    <t>Payment retry</t>
  </si>
  <si>
    <t>Fail, retry, then complete payment</t>
  </si>
  <si>
    <t>Booking confirms once with no duplicate confirmed bookings</t>
  </si>
  <si>
    <t>Payment refresh</t>
  </si>
  <si>
    <t>Refresh before payment and after success</t>
  </si>
  <si>
    <t>Pre-payment is recoverable; confirmed state survives refresh</t>
  </si>
  <si>
    <t>Abandoned payment</t>
  </si>
  <si>
    <t>Open checkout and abandon payment</t>
  </si>
  <si>
    <t>No confirmed booking; customer can safely start again</t>
  </si>
  <si>
    <t>5</t>
  </si>
  <si>
    <t>Booking deep links</t>
  </si>
  <si>
    <t>Load /booking/:bookingId directly</t>
  </si>
  <si>
    <t>Booking detail loads after refresh</t>
  </si>
  <si>
    <t>Booking errors</t>
  </si>
  <si>
    <t>Open invalid and unauthorized booking IDs</t>
  </si>
  <si>
    <t>Friendly error; unauthorized details are not exposed</t>
  </si>
  <si>
    <t>6</t>
  </si>
  <si>
    <t>My Trips tabs</t>
  </si>
  <si>
    <t>Test Upcoming, Ongoing, and Past tabs</t>
  </si>
  <si>
    <t>Tab persists in URL and loading/empty states are correct</t>
  </si>
  <si>
    <t>My Trips pagination</t>
  </si>
  <si>
    <t>Use next/previous pages</t>
  </si>
  <si>
    <t>Pagination works and scrolls to top after page changes</t>
  </si>
  <si>
    <t>Trip cards</t>
  </si>
  <si>
    <t>Review trip card fields and navigation</t>
  </si>
  <si>
    <t>Cards show correct summary and route to canonical detail page</t>
  </si>
  <si>
    <t>7</t>
  </si>
  <si>
    <t>Status matrix</t>
  </si>
  <si>
    <t>Confirmed/upcoming</t>
  </si>
  <si>
    <t>Open confirmed/upcoming booking</t>
  </si>
  <si>
    <t>Allowed operational edit surfaces appear</t>
  </si>
  <si>
    <t>Ongoing</t>
  </si>
  <si>
    <t>Open ongoing booking</t>
  </si>
  <si>
    <t>Active support/fare context remains clear</t>
  </si>
  <si>
    <t>Completed/closed</t>
  </si>
  <si>
    <t>Open completed/closed booking</t>
  </si>
  <si>
    <t>Paid-to-driver/review behavior is correct</t>
  </si>
  <si>
    <t>Cancelled</t>
  </si>
  <si>
    <t>Open cancelled booking</t>
  </si>
  <si>
    <t>Refund summary is primary financial status</t>
  </si>
  <si>
    <t>Dispute</t>
  </si>
  <si>
    <t>Open dispute booking</t>
  </si>
  <si>
    <t>Blocked state replaces self-service actions</t>
  </si>
  <si>
    <t>Stale past-active</t>
  </si>
  <si>
    <t>Open stale past-active booking</t>
  </si>
  <si>
    <t>Balance pending marker appears</t>
  </si>
  <si>
    <t>8</t>
  </si>
  <si>
    <t>Driver assignment</t>
  </si>
  <si>
    <t>Open booking with assigned driver</t>
  </si>
  <si>
    <t>Only customer-safe driver/cab fields appear and call action works</t>
  </si>
  <si>
    <t>Open booking without assigned driver</t>
  </si>
  <si>
    <t>Unassigned message is understandable and layout holds</t>
  </si>
  <si>
    <t>9</t>
  </si>
  <si>
    <t>Support</t>
  </si>
  <si>
    <t>Each booking detail type</t>
  </si>
  <si>
    <t>Open support, call, WhatsApp, and policy link</t>
  </si>
  <si>
    <t>Support is lazy-fetched; WhatsApp has booking context only</t>
  </si>
  <si>
    <t>Special request</t>
  </si>
  <si>
    <t>Eligible booking</t>
  </si>
  <si>
    <t>Add valid special request and reopen detail</t>
  </si>
  <si>
    <t>Request saves once and becomes read-only</t>
  </si>
  <si>
    <t>Special request validation</t>
  </si>
  <si>
    <t>Try empty and overlong requests</t>
  </si>
  <si>
    <t>10</t>
  </si>
  <si>
    <t>Cancellation</t>
  </si>
  <si>
    <t>Eligible upcoming</t>
  </si>
  <si>
    <t>Cancel with predefined and Other reasons</t>
  </si>
  <si>
    <t>Warning appears; backend receives customer-safe payload; actions disappear</t>
  </si>
  <si>
    <t>Refund</t>
  </si>
  <si>
    <t>Cancelled booking</t>
  </si>
  <si>
    <t>Open cancelled booking with refund detail</t>
  </si>
  <si>
    <t>11</t>
  </si>
  <si>
    <t>Profile</t>
  </si>
  <si>
    <t>Verified-email customer</t>
  </si>
  <si>
    <t>Email verified</t>
  </si>
  <si>
    <t>Update profile name and upload valid PNG</t>
  </si>
  <si>
    <t>Profile updates without full-page confusion; PNG uploads</t>
  </si>
  <si>
    <t>Profile validation</t>
  </si>
  <si>
    <t>Try non-PNG and over-2-MB PNG</t>
  </si>
  <si>
    <t>Friendly validation; invalid images are rejected</t>
  </si>
  <si>
    <t>Email verification</t>
  </si>
  <si>
    <t>Unverified-email customer</t>
  </si>
  <si>
    <t>Email unverified</t>
  </si>
  <si>
    <t>Resend or open verification flows where available</t>
  </si>
  <si>
    <t>Verification status and recovery states are clear</t>
  </si>
  <si>
    <t>Logout</t>
  </si>
  <si>
    <t>Log out</t>
  </si>
  <si>
    <t>Auth and customer-specific cache clear; navigation returns to login</t>
  </si>
  <si>
    <t>Legal pages</t>
  </si>
  <si>
    <t>Open legal/support links from profile, login, fare, support, refund</t>
  </si>
  <si>
    <t>Pages scroll top, title once, dates visible, links clickable, refresh works</t>
  </si>
  <si>
    <t>12</t>
  </si>
  <si>
    <t>Responsive</t>
  </si>
  <si>
    <t>Mobile small</t>
  </si>
  <si>
    <t>Run visual pass</t>
  </si>
  <si>
    <t>No horizontal scroll; important actions reachable</t>
  </si>
  <si>
    <t>Mobile large</t>
  </si>
  <si>
    <t>Text/buttons/cards do not overflow</t>
  </si>
  <si>
    <t>Tablet</t>
  </si>
  <si>
    <t>Trip cards and fare/payment sections remain readable</t>
  </si>
  <si>
    <t>Laptop</t>
  </si>
  <si>
    <t>Layout is balanced and actions remain reachable</t>
  </si>
  <si>
    <t>Desktop/wide</t>
  </si>
  <si>
    <t>No awkward stretching or overlap</t>
  </si>
  <si>
    <t>13</t>
  </si>
  <si>
    <t>Keyboard/accessibility</t>
  </si>
  <si>
    <t>Core flows</t>
  </si>
  <si>
    <t>Keyboard-only pass across login, search, preferences, payment, booking, profile, legal</t>
  </si>
  <si>
    <t>Tab order, focus, names, labels, and errors are usable</t>
  </si>
  <si>
    <t>14</t>
  </si>
  <si>
    <t>Loading/degraded</t>
  </si>
  <si>
    <t>Test slow API/failure/empty states</t>
  </si>
  <si>
    <t>Scoped loaders, friendly empty states, useful retries, no raw internals</t>
  </si>
  <si>
    <t>15</t>
  </si>
  <si>
    <t>Cross-browser smoke</t>
  </si>
  <si>
    <t>Chrome latest</t>
  </si>
  <si>
    <t>Smoke login, search, ride options, profile, legal, booking detail</t>
  </si>
  <si>
    <t>Smoke flow passes</t>
  </si>
  <si>
    <t>Edge latest</t>
  </si>
  <si>
    <t>Android Chrome if available</t>
  </si>
  <si>
    <t>Completion</t>
  </si>
  <si>
    <t>Release gate</t>
  </si>
  <si>
    <t>Confirm all trip types pass matrix</t>
  </si>
  <si>
    <t>No P0; P1 fixed or accepted; evidence exists for critical flows</t>
  </si>
  <si>
    <t>ID</t>
  </si>
  <si>
    <t>Checklist Row / Area</t>
  </si>
  <si>
    <t>Severity</t>
  </si>
  <si>
    <t>Owner</t>
  </si>
  <si>
    <t>BUG-001</t>
  </si>
  <si>
    <t>Customer A (Ayan)</t>
  </si>
  <si>
    <t>Successful login/onboarding with OTP</t>
  </si>
  <si>
    <t>ayanchax9088@gmail.com</t>
  </si>
  <si>
    <t>NA</t>
  </si>
  <si>
    <t>Swaroop</t>
  </si>
  <si>
    <t>In Progress</t>
  </si>
  <si>
    <t>Success</t>
  </si>
  <si>
    <t>StatusList</t>
  </si>
  <si>
    <t>P0: Recent suggestions are orderedby the latest one only when we do a real search and pick up the location, but if we pick up from a cached suggestion - then it does not shift that suggestion to the latest/on top of the order. The ordering works correctly only for API fetched suggestions.</t>
  </si>
  <si>
    <t>P0: Currently it shows a generic Error Boundary Component - Like We've hit a speed bump as we throw error on api data not found - but for this case - we need to show a specific trip not found feedback state. 
API Error {
    "detail": "Trip booking not found",
    "error": "Trip booking not found (status_code=404)",
    "error_code": "TRIP_NOT_FOUND"
}</t>
  </si>
  <si>
    <t>The Save button will not enable if empty. Cannot enter more than 300 characters</t>
  </si>
  <si>
    <t>Refund amount, type, status, and policy link are clear</t>
  </si>
  <si>
    <t>P1: Logout happens successfully, also cache is cleared,navigates to Login and never goes back to authenticated pages unless logged in back. A small issue is when I click on the Logout button and it slides down to the Confirmation message and the final logout message - that scroll does not fully scroll to that confirmation div and I have to again scroll to see that region and finally click on logout. This happens only in lg+ devices and not in mobiles or tablets or even smaller devices</t>
  </si>
  <si>
    <t>Safari iOS/Opera/Firefox if available</t>
  </si>
  <si>
    <t>P1</t>
  </si>
  <si>
    <t>BUG-002</t>
  </si>
  <si>
    <t>P0</t>
  </si>
  <si>
    <t>BUG-003</t>
  </si>
  <si>
    <t>BUG-004</t>
  </si>
  <si>
    <t>P0: The card information in trip feed is correct - but the sorting in the card is not right. It is currently sorted from descending order of trip date whereas it should be in ascending order - recent upcoming first.</t>
  </si>
  <si>
    <t>Segment</t>
  </si>
  <si>
    <t>All trip types | Frontend</t>
  </si>
  <si>
    <t>BUG-005</t>
  </si>
  <si>
    <t>P0: The Special request gets saved and also visible on the layout after saved, but if we go Back to My Trips and come back to the same trip - the updated special request does not show up, this is perhaps because the API is not called and is cached by React Query. But if we refresh the page, the special request shows up.</t>
  </si>
  <si>
    <t>Special requests</t>
  </si>
  <si>
    <t>Eligible booking | Frontend</t>
  </si>
  <si>
    <t>BUG-006</t>
  </si>
  <si>
    <t>Responsiveness</t>
  </si>
  <si>
    <t>Desktop/wide | Frontend</t>
  </si>
  <si>
    <t>Cabbo Customer Frontend QA Checklist(Local Env)</t>
  </si>
  <si>
    <t>P1- on adding a email from profile, email is added but also the Resend verification link appears - which ideally should not appear, because once a email is added, a verification email is sent to that email and if the user does not verify within more than 2 hours - then only it shows. However, on page refresh the Resend verification link does nota appear anymore. This is a UI rendering issue just after adding the email.</t>
  </si>
  <si>
    <t>BUG-007</t>
  </si>
  <si>
    <t>Reserve ride</t>
  </si>
  <si>
    <t>All trip types | Backend</t>
  </si>
  <si>
    <t>Closed</t>
  </si>
  <si>
    <r>
      <t>When a customer joins the app and does not add their email, and continues to book a trip by following the Search-&gt;Fill in preferences(date, passenger etc.)-&gt;Select options-&gt;Reserve. At the Reserve point - the front end invokes an initiate-booking endpoint which fails at the backend with an error "</t>
    </r>
    <r>
      <rPr>
        <i/>
        <sz val="11"/>
        <rFont val="Calibri"/>
        <family val="2"/>
      </rPr>
      <t>sraise CabboException(
core.exceptions.CabboException: Failed to initiate trip booking: 1 validation error for PaymentNotesSchema
customer.email
  value is not a valid email address: An email address must have an @-sign. [type=value_error, input_value='', input_type=str] (status_code=500)</t>
    </r>
    <r>
      <rPr>
        <sz val="11"/>
        <rFont val="Calibri"/>
      </rPr>
      <t>" which clearly is an email validation error during creating the payment order. Hence the screen shows a Error Boundary generic screen, but funny part is when we retry on the generic error page or refresh the page - the error does not happen any more and initiates the booking successfully.</t>
    </r>
  </si>
  <si>
    <t>Customer B (Oyendrila)</t>
  </si>
  <si>
    <t>BUG-008</t>
  </si>
  <si>
    <t>16th August 2026</t>
  </si>
  <si>
    <t xml:space="preserve">On opening a completed trip of any type and providing a review updates the DB and also UI reflects the changes locally from state data - but go back and again come here - it still shows - Provide review and not the recently provided review. Only after a page refresh the issue gets resolved - perhaps a react query state update issue.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</si>
</sst>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libri"/>
    </font>
    <font>
      <b/>
      <sz val="11"/>
      <color rgb="FFFFFFFF"/>
      <name val="Calibri"/>
    </font>
    <font>
      <u/>
      <sz val="11"/>
      <color theme="10"/>
      <name val="Calibri"/>
    </font>
    <font>
      <sz val="8"/>
      <name val="Calibri"/>
    </font>
    <font>
      <b/>
      <sz val="11"/>
      <name val="Calibri"/>
      <family val="2"/>
    </font>
    <font>
      <i/>
      <sz val="11"/>
      <name val="Calibri"/>
      <family val="2"/>
    </font>
    <font>
      <sz val="11"/>
      <name val="Calibri"/>
      <family val="2"/>
    </font>
  </fonts>
  <fills count="5">
    <fill>
      <patternFill patternType="none"/>
    </fill>
    <fill>
      <patternFill patternType="gray125"/>
    </fill>
    <fill>
      <patternFill patternType="solid">
        <fgColor rgb="FF155E75"/>
        <bgColor indexed="64"/>
      </patternFill>
    </fill>
    <fill>
      <patternFill patternType="solid">
        <fgColor theme="9" tint="0.39997558519241921"/>
        <bgColor indexed="64"/>
      </patternFill>
    </fill>
    <fill>
      <patternFill patternType="solid">
        <fgColor theme="4" tint="0.39997558519241921"/>
        <bgColor indexed="64"/>
      </patternFill>
    </fill>
  </fills>
  <borders count="11">
    <border>
      <left/>
      <right/>
      <top/>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right/>
      <top style="thin">
        <color rgb="FFD1D5DB"/>
      </top>
      <bottom style="thin">
        <color rgb="FFD1D5DB"/>
      </bottom>
      <diagonal/>
    </border>
    <border>
      <left/>
      <right/>
      <top/>
      <bottom style="thin">
        <color rgb="FFD1D5DB"/>
      </bottom>
      <diagonal/>
    </border>
    <border>
      <left/>
      <right/>
      <top style="thin">
        <color rgb="FFD1D5DB"/>
      </top>
      <bottom/>
      <diagonal/>
    </border>
    <border>
      <left style="thin">
        <color rgb="FFD1D5DB"/>
      </left>
      <right style="thin">
        <color rgb="FFD1D5DB"/>
      </right>
      <top style="thin">
        <color rgb="FFD1D5DB"/>
      </top>
      <bottom/>
      <diagonal/>
    </border>
    <border>
      <left style="thin">
        <color rgb="FFD1D5DB"/>
      </left>
      <right style="thin">
        <color rgb="FFD1D5DB"/>
      </right>
      <top/>
      <bottom style="thin">
        <color rgb="FFD1D5DB"/>
      </bottom>
      <diagonal/>
    </border>
    <border>
      <left style="thin">
        <color indexed="64"/>
      </left>
      <right style="thin">
        <color indexed="64"/>
      </right>
      <top style="thin">
        <color indexed="64"/>
      </top>
      <bottom style="thin">
        <color indexed="64"/>
      </bottom>
      <diagonal/>
    </border>
    <border>
      <left style="thin">
        <color rgb="FFD1D5DB"/>
      </left>
      <right/>
      <top style="thin">
        <color rgb="FFD1D5DB"/>
      </top>
      <bottom/>
      <diagonal/>
    </border>
    <border>
      <left/>
      <right style="thin">
        <color rgb="FFD1D5DB"/>
      </right>
      <top style="thin">
        <color rgb="FFD1D5DB"/>
      </top>
      <bottom/>
      <diagonal/>
    </border>
  </borders>
  <cellStyleXfs count="2">
    <xf numFmtId="0" fontId="0" fillId="0" borderId="0"/>
    <xf numFmtId="0" fontId="2" fillId="0" borderId="0" applyNumberFormat="0" applyFill="0" applyBorder="0" applyAlignment="0" applyProtection="0"/>
  </cellStyleXfs>
  <cellXfs count="28">
    <xf numFmtId="0" fontId="0" fillId="0" borderId="1" xfId="0" applyBorder="1"/>
    <xf numFmtId="0" fontId="1" fillId="2" borderId="1" xfId="0" applyFont="1" applyFill="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7" xfId="0" applyBorder="1"/>
    <xf numFmtId="0" fontId="1" fillId="2" borderId="6" xfId="0" applyFont="1" applyFill="1" applyBorder="1"/>
    <xf numFmtId="0" fontId="0" fillId="0" borderId="8" xfId="0" applyBorder="1"/>
    <xf numFmtId="14" fontId="0" fillId="0" borderId="8" xfId="0" applyNumberFormat="1" applyBorder="1"/>
    <xf numFmtId="0" fontId="0" fillId="0" borderId="8" xfId="0" applyBorder="1" applyAlignment="1">
      <alignment wrapText="1"/>
    </xf>
    <xf numFmtId="0" fontId="0" fillId="0" borderId="2" xfId="0" applyBorder="1" applyAlignment="1">
      <alignment vertical="center"/>
    </xf>
    <xf numFmtId="0" fontId="0" fillId="0" borderId="1" xfId="0" applyBorder="1" applyAlignment="1">
      <alignment vertical="center"/>
    </xf>
    <xf numFmtId="0" fontId="4" fillId="0" borderId="8" xfId="0" applyFont="1" applyBorder="1"/>
    <xf numFmtId="0" fontId="2" fillId="0" borderId="8" xfId="1" applyBorder="1"/>
    <xf numFmtId="0" fontId="0" fillId="3" borderId="8" xfId="0" applyFill="1" applyBorder="1"/>
    <xf numFmtId="14" fontId="0" fillId="0" borderId="8" xfId="0" applyNumberFormat="1"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xf>
    <xf numFmtId="14" fontId="0" fillId="0" borderId="8" xfId="0" applyNumberFormat="1" applyBorder="1" applyAlignment="1">
      <alignment horizont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2" xfId="0" applyBorder="1" applyAlignment="1">
      <alignment horizontal="center" vertical="center"/>
    </xf>
    <xf numFmtId="0" fontId="6" fillId="0" borderId="8" xfId="0" applyFont="1" applyBorder="1" applyAlignment="1">
      <alignment horizontal="center" vertical="center"/>
    </xf>
    <xf numFmtId="0" fontId="6" fillId="0" borderId="8" xfId="0" applyFont="1" applyBorder="1" applyAlignment="1">
      <alignment horizontal="center" vertical="center" wrapText="1"/>
    </xf>
    <xf numFmtId="0" fontId="6" fillId="0" borderId="5" xfId="0" applyFont="1" applyBorder="1"/>
    <xf numFmtId="0" fontId="0" fillId="4" borderId="9" xfId="0" applyFill="1" applyBorder="1" applyAlignment="1">
      <alignment horizontal="center" vertical="center"/>
    </xf>
    <xf numFmtId="0" fontId="0" fillId="4" borderId="10" xfId="0" applyFill="1" applyBorder="1" applyAlignment="1">
      <alignment horizontal="center" vertical="center"/>
    </xf>
  </cellXfs>
  <cellStyles count="2">
    <cellStyle name="Hyperlink" xfId="1" builtinId="8"/>
    <cellStyle name="Normal" xfId="0" builtinId="0"/>
  </cellStyles>
  <dxfs count="4">
    <dxf>
      <border diagonalUp="0" diagonalDown="0">
        <left/>
        <right/>
        <top style="thin">
          <color rgb="FFD1D5DB"/>
        </top>
        <bottom style="thin">
          <color rgb="FFD1D5DB"/>
        </bottom>
        <vertical/>
        <horizontal/>
      </border>
    </dxf>
    <dxf>
      <border outline="0">
        <top style="thin">
          <color rgb="FFD1D5DB"/>
        </top>
      </border>
    </dxf>
    <dxf>
      <border outline="0">
        <left style="thin">
          <color rgb="FFD1D5DB"/>
        </left>
        <right style="thin">
          <color rgb="FFD1D5DB"/>
        </right>
        <top style="thin">
          <color rgb="FFD1D5DB"/>
        </top>
        <bottom style="thin">
          <color rgb="FFD1D5DB"/>
        </bottom>
      </border>
    </dxf>
    <dxf>
      <border outline="0">
        <bottom style="thin">
          <color rgb="FFD1D5DB"/>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A02F51-2303-4ACF-A30C-AA5E58569BC4}" name="Table1" displayName="Table1" ref="M70:M75" totalsRowShown="0" headerRowBorderDxfId="3" tableBorderDxfId="2" totalsRowBorderDxfId="1">
  <autoFilter ref="M70:M75" xr:uid="{35A02F51-2303-4ACF-A30C-AA5E58569BC4}"/>
  <tableColumns count="1">
    <tableColumn id="1" xr3:uid="{A9E104E4-81F3-43B0-BF6E-0A093137A034}" name="StatusLis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ayanchax9088@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workbookViewId="0">
      <pane ySplit="1" topLeftCell="A2" activePane="bottomLeft" state="frozen"/>
      <selection pane="bottomLeft" activeCell="B5" sqref="B5"/>
    </sheetView>
  </sheetViews>
  <sheetFormatPr defaultRowHeight="14.5"/>
  <cols>
    <col min="1" max="1" width="30" customWidth="1"/>
    <col min="2" max="2" width="57.26953125" customWidth="1"/>
    <col min="3" max="5" width="18" customWidth="1"/>
  </cols>
  <sheetData>
    <row r="1" spans="1:5">
      <c r="A1" s="1" t="s">
        <v>253</v>
      </c>
      <c r="B1" s="1"/>
      <c r="C1" s="1"/>
      <c r="D1" s="1"/>
      <c r="E1" s="1"/>
    </row>
    <row r="2" spans="1:5">
      <c r="A2" s="26" t="s">
        <v>0</v>
      </c>
      <c r="B2" s="27"/>
    </row>
    <row r="3" spans="1:5">
      <c r="A3" s="8" t="s">
        <v>1</v>
      </c>
      <c r="B3" s="13">
        <f>COUNTA(Checklist!A2:A200)</f>
        <v>56</v>
      </c>
      <c r="C3" s="2"/>
    </row>
    <row r="4" spans="1:5">
      <c r="A4" s="8" t="s">
        <v>2</v>
      </c>
      <c r="B4" s="13">
        <f>COUNTIF(Checklist!G2:G200,"Success")</f>
        <v>56</v>
      </c>
      <c r="C4" s="2"/>
    </row>
    <row r="5" spans="1:5">
      <c r="A5" s="8" t="s">
        <v>3</v>
      </c>
      <c r="B5" s="13">
        <f>COUNTIF(Checklist!G2:G200,"Failed")</f>
        <v>0</v>
      </c>
      <c r="C5" s="2"/>
    </row>
    <row r="6" spans="1:5">
      <c r="A6" s="8" t="s">
        <v>4</v>
      </c>
      <c r="B6" s="13">
        <f>COUNTIF(Checklist!G2:G200,"Blocked")</f>
        <v>0</v>
      </c>
      <c r="C6" s="2"/>
    </row>
    <row r="7" spans="1:5">
      <c r="A7" s="8" t="s">
        <v>5</v>
      </c>
      <c r="B7" s="13">
        <f>COUNTIF(Checklist!G2:G200,"Not Started")</f>
        <v>0</v>
      </c>
      <c r="C7" s="2"/>
    </row>
    <row r="8" spans="1:5">
      <c r="A8" s="8" t="s">
        <v>6</v>
      </c>
      <c r="B8" s="13">
        <f>COUNTIFS('Defects Log'!F2:F200,"Open",'Defects Log'!E2:E200,"P0")+COUNTIFS('Defects Log'!F2:F200,"Open",'Defects Log'!E2:E200,"P1")</f>
        <v>0</v>
      </c>
      <c r="C8" s="2"/>
    </row>
    <row r="9" spans="1:5">
      <c r="A9" s="8" t="s">
        <v>7</v>
      </c>
      <c r="B9" s="8" t="s">
        <v>8</v>
      </c>
      <c r="C9" s="2"/>
    </row>
    <row r="10" spans="1:5">
      <c r="A10" s="8" t="s">
        <v>9</v>
      </c>
      <c r="B10" s="8" t="s">
        <v>10</v>
      </c>
      <c r="C10" s="2"/>
    </row>
    <row r="11" spans="1:5">
      <c r="A11" s="6"/>
      <c r="B11" s="6"/>
    </row>
  </sheetData>
  <mergeCells count="1">
    <mergeCell ref="A2:B2"/>
  </mergeCells>
  <pageMargins left="0.7" right="0.7" top="0.75" bottom="0.75" header="0.3" footer="0.3"/>
  <pageSetup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
  <sheetViews>
    <sheetView workbookViewId="0">
      <pane ySplit="1" topLeftCell="A2" activePane="bottomLeft" state="frozen"/>
      <selection pane="bottomLeft" activeCell="C1" sqref="C1:C1048576"/>
    </sheetView>
  </sheetViews>
  <sheetFormatPr defaultRowHeight="14.5"/>
  <cols>
    <col min="1" max="1" width="22" customWidth="1"/>
    <col min="2" max="3" width="16" customWidth="1"/>
    <col min="4" max="4" width="55" customWidth="1"/>
    <col min="5" max="5" width="24" customWidth="1"/>
    <col min="6" max="6" width="28" customWidth="1"/>
    <col min="7" max="7" width="44" customWidth="1"/>
  </cols>
  <sheetData>
    <row r="1" spans="1:8">
      <c r="A1" s="7" t="s">
        <v>11</v>
      </c>
      <c r="B1" s="7" t="s">
        <v>12</v>
      </c>
      <c r="C1" s="7" t="s">
        <v>13</v>
      </c>
      <c r="D1" s="7" t="s">
        <v>14</v>
      </c>
      <c r="E1" s="7" t="s">
        <v>15</v>
      </c>
      <c r="F1" s="7" t="s">
        <v>16</v>
      </c>
      <c r="G1" s="7" t="s">
        <v>17</v>
      </c>
    </row>
    <row r="2" spans="1:8">
      <c r="A2" s="8" t="s">
        <v>224</v>
      </c>
      <c r="B2" s="8" t="s">
        <v>18</v>
      </c>
      <c r="C2" s="8" t="s">
        <v>18</v>
      </c>
      <c r="D2" s="8" t="s">
        <v>19</v>
      </c>
      <c r="E2" s="8">
        <v>9831305667</v>
      </c>
      <c r="F2" s="8" t="s">
        <v>225</v>
      </c>
      <c r="G2" s="14" t="s">
        <v>226</v>
      </c>
      <c r="H2" s="2"/>
    </row>
    <row r="3" spans="1:8">
      <c r="A3" s="8" t="s">
        <v>260</v>
      </c>
      <c r="B3" s="8" t="s">
        <v>18</v>
      </c>
      <c r="C3" s="8" t="s">
        <v>20</v>
      </c>
      <c r="D3" s="8" t="s">
        <v>21</v>
      </c>
      <c r="E3" s="8">
        <v>8017084241</v>
      </c>
      <c r="F3" s="8" t="s">
        <v>225</v>
      </c>
      <c r="G3" s="8" t="s">
        <v>227</v>
      </c>
      <c r="H3" s="2"/>
    </row>
    <row r="4" spans="1:8">
      <c r="A4" s="6"/>
      <c r="B4" s="6"/>
      <c r="C4" s="6"/>
      <c r="D4" s="6"/>
      <c r="E4" s="6"/>
      <c r="F4" s="6"/>
      <c r="G4" s="6"/>
    </row>
  </sheetData>
  <hyperlinks>
    <hyperlink ref="G2" r:id="rId1" xr:uid="{96118FD3-4324-4A1F-ADAE-FF6048EDD65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5"/>
  <sheetViews>
    <sheetView tabSelected="1" topLeftCell="E1" workbookViewId="0">
      <pane ySplit="1" topLeftCell="A43" activePane="bottomLeft" state="frozen"/>
      <selection pane="bottomLeft" activeCell="H59" sqref="H59"/>
    </sheetView>
  </sheetViews>
  <sheetFormatPr defaultRowHeight="14.5"/>
  <cols>
    <col min="1" max="1" width="10" customWidth="1"/>
    <col min="2" max="2" width="24" customWidth="1"/>
    <col min="3" max="3" width="22" customWidth="1"/>
    <col min="4" max="4" width="26" customWidth="1"/>
    <col min="5" max="5" width="48" customWidth="1"/>
    <col min="6" max="6" width="64" customWidth="1"/>
    <col min="7" max="7" width="16" customWidth="1"/>
    <col min="8" max="8" width="18" customWidth="1"/>
    <col min="9" max="9" width="14" customWidth="1"/>
    <col min="10" max="10" width="12.54296875" customWidth="1"/>
    <col min="11" max="11" width="13.36328125" customWidth="1"/>
    <col min="12" max="12" width="44" customWidth="1"/>
    <col min="13" max="13" width="10.26953125" customWidth="1"/>
  </cols>
  <sheetData>
    <row r="1" spans="1:13">
      <c r="A1" s="7" t="s">
        <v>22</v>
      </c>
      <c r="B1" s="7" t="s">
        <v>23</v>
      </c>
      <c r="C1" s="7" t="s">
        <v>24</v>
      </c>
      <c r="D1" s="7" t="s">
        <v>25</v>
      </c>
      <c r="E1" s="7" t="s">
        <v>26</v>
      </c>
      <c r="F1" s="7" t="s">
        <v>27</v>
      </c>
      <c r="G1" s="7" t="s">
        <v>28</v>
      </c>
      <c r="H1" s="7" t="s">
        <v>29</v>
      </c>
      <c r="I1" s="7" t="s">
        <v>30</v>
      </c>
      <c r="J1" s="7" t="s">
        <v>31</v>
      </c>
      <c r="K1" s="7" t="s">
        <v>32</v>
      </c>
      <c r="L1" s="7" t="s">
        <v>17</v>
      </c>
    </row>
    <row r="2" spans="1:13">
      <c r="A2" s="8" t="s">
        <v>33</v>
      </c>
      <c r="B2" s="8" t="s">
        <v>34</v>
      </c>
      <c r="C2" s="8" t="s">
        <v>35</v>
      </c>
      <c r="D2" s="8" t="s">
        <v>36</v>
      </c>
      <c r="E2" s="8" t="s">
        <v>37</v>
      </c>
      <c r="F2" s="8" t="s">
        <v>38</v>
      </c>
      <c r="G2" s="15" t="s">
        <v>230</v>
      </c>
      <c r="H2" s="8" t="s">
        <v>228</v>
      </c>
      <c r="I2" s="9">
        <v>46208</v>
      </c>
      <c r="J2" s="8"/>
      <c r="K2" s="8"/>
      <c r="L2" s="8"/>
      <c r="M2" s="2"/>
    </row>
    <row r="3" spans="1:13">
      <c r="A3" s="8" t="s">
        <v>33</v>
      </c>
      <c r="B3" s="8" t="s">
        <v>34</v>
      </c>
      <c r="C3" s="8" t="s">
        <v>35</v>
      </c>
      <c r="D3" s="8" t="s">
        <v>40</v>
      </c>
      <c r="E3" s="8" t="s">
        <v>41</v>
      </c>
      <c r="F3" s="8" t="s">
        <v>42</v>
      </c>
      <c r="G3" s="15" t="s">
        <v>230</v>
      </c>
      <c r="H3" s="8" t="s">
        <v>228</v>
      </c>
      <c r="I3" s="9">
        <v>46208</v>
      </c>
      <c r="J3" s="8"/>
      <c r="K3" s="8"/>
      <c r="L3" s="8"/>
      <c r="M3" s="2"/>
    </row>
    <row r="4" spans="1:13">
      <c r="A4" s="8" t="s">
        <v>43</v>
      </c>
      <c r="B4" s="8" t="s">
        <v>44</v>
      </c>
      <c r="C4" s="8" t="s">
        <v>45</v>
      </c>
      <c r="D4" s="8" t="s">
        <v>46</v>
      </c>
      <c r="E4" s="8" t="s">
        <v>47</v>
      </c>
      <c r="F4" s="8" t="s">
        <v>48</v>
      </c>
      <c r="G4" s="15" t="s">
        <v>230</v>
      </c>
      <c r="H4" s="8" t="s">
        <v>228</v>
      </c>
      <c r="I4" s="9">
        <v>46208</v>
      </c>
      <c r="J4" s="8"/>
      <c r="K4" s="8"/>
      <c r="L4" s="8"/>
      <c r="M4" s="2"/>
    </row>
    <row r="5" spans="1:13">
      <c r="A5" s="8" t="s">
        <v>43</v>
      </c>
      <c r="B5" s="8" t="s">
        <v>44</v>
      </c>
      <c r="C5" s="8" t="s">
        <v>45</v>
      </c>
      <c r="D5" s="8" t="s">
        <v>46</v>
      </c>
      <c r="E5" s="8" t="s">
        <v>49</v>
      </c>
      <c r="F5" s="8" t="s">
        <v>50</v>
      </c>
      <c r="G5" s="15" t="s">
        <v>230</v>
      </c>
      <c r="H5" s="8" t="s">
        <v>228</v>
      </c>
      <c r="I5" s="9">
        <v>46208</v>
      </c>
      <c r="J5" s="8"/>
      <c r="K5" s="8"/>
      <c r="L5" s="8"/>
      <c r="M5" s="2"/>
    </row>
    <row r="6" spans="1:13">
      <c r="A6" s="8" t="s">
        <v>43</v>
      </c>
      <c r="B6" s="8" t="s">
        <v>44</v>
      </c>
      <c r="C6" s="8" t="s">
        <v>45</v>
      </c>
      <c r="D6" s="8" t="s">
        <v>46</v>
      </c>
      <c r="E6" s="8" t="s">
        <v>51</v>
      </c>
      <c r="F6" s="8" t="s">
        <v>52</v>
      </c>
      <c r="G6" s="15" t="s">
        <v>230</v>
      </c>
      <c r="H6" s="8" t="s">
        <v>228</v>
      </c>
      <c r="I6" s="9">
        <v>46208</v>
      </c>
      <c r="J6" s="8"/>
      <c r="K6" s="8"/>
      <c r="L6" s="8"/>
      <c r="M6" s="2"/>
    </row>
    <row r="7" spans="1:13">
      <c r="A7" s="8" t="s">
        <v>43</v>
      </c>
      <c r="B7" s="8" t="s">
        <v>44</v>
      </c>
      <c r="C7" s="8" t="s">
        <v>45</v>
      </c>
      <c r="D7" s="8" t="s">
        <v>46</v>
      </c>
      <c r="E7" s="8" t="s">
        <v>53</v>
      </c>
      <c r="F7" s="8" t="s">
        <v>54</v>
      </c>
      <c r="G7" s="15" t="s">
        <v>230</v>
      </c>
      <c r="H7" s="8" t="s">
        <v>228</v>
      </c>
      <c r="I7" s="9">
        <v>46208</v>
      </c>
      <c r="J7" s="8"/>
      <c r="K7" s="8"/>
      <c r="L7" s="8"/>
      <c r="M7" s="2"/>
    </row>
    <row r="8" spans="1:13">
      <c r="A8" s="8" t="s">
        <v>43</v>
      </c>
      <c r="B8" s="8" t="s">
        <v>55</v>
      </c>
      <c r="C8" s="8" t="s">
        <v>56</v>
      </c>
      <c r="D8" s="8" t="s">
        <v>46</v>
      </c>
      <c r="E8" s="8" t="s">
        <v>57</v>
      </c>
      <c r="F8" s="8" t="s">
        <v>58</v>
      </c>
      <c r="G8" s="15" t="s">
        <v>230</v>
      </c>
      <c r="H8" s="8" t="s">
        <v>228</v>
      </c>
      <c r="I8" s="9">
        <v>46208</v>
      </c>
      <c r="J8" s="8"/>
      <c r="K8" s="8"/>
      <c r="L8" s="8"/>
      <c r="M8" s="2"/>
    </row>
    <row r="9" spans="1:13">
      <c r="A9" s="8" t="s">
        <v>43</v>
      </c>
      <c r="B9" s="8" t="s">
        <v>55</v>
      </c>
      <c r="C9" s="8" t="s">
        <v>59</v>
      </c>
      <c r="D9" s="8" t="s">
        <v>46</v>
      </c>
      <c r="E9" s="8" t="s">
        <v>60</v>
      </c>
      <c r="F9" s="8" t="s">
        <v>61</v>
      </c>
      <c r="G9" s="15" t="s">
        <v>230</v>
      </c>
      <c r="H9" s="8" t="s">
        <v>228</v>
      </c>
      <c r="I9" s="9">
        <v>46208</v>
      </c>
      <c r="J9" s="8"/>
      <c r="K9" s="8"/>
      <c r="L9" s="8"/>
      <c r="M9" s="2"/>
    </row>
    <row r="10" spans="1:13">
      <c r="A10" s="8" t="s">
        <v>43</v>
      </c>
      <c r="B10" s="8" t="s">
        <v>55</v>
      </c>
      <c r="C10" s="8" t="s">
        <v>62</v>
      </c>
      <c r="D10" s="8" t="s">
        <v>46</v>
      </c>
      <c r="E10" s="8" t="s">
        <v>63</v>
      </c>
      <c r="F10" s="8" t="s">
        <v>64</v>
      </c>
      <c r="G10" s="15" t="s">
        <v>230</v>
      </c>
      <c r="H10" s="8" t="s">
        <v>228</v>
      </c>
      <c r="I10" s="9">
        <v>46208</v>
      </c>
      <c r="J10" s="8"/>
      <c r="K10" s="8"/>
      <c r="L10" s="8"/>
      <c r="M10" s="2"/>
    </row>
    <row r="11" spans="1:13">
      <c r="A11" s="8" t="s">
        <v>43</v>
      </c>
      <c r="B11" s="8" t="s">
        <v>55</v>
      </c>
      <c r="C11" s="8" t="s">
        <v>65</v>
      </c>
      <c r="D11" s="8" t="s">
        <v>46</v>
      </c>
      <c r="E11" s="8" t="s">
        <v>66</v>
      </c>
      <c r="F11" s="8" t="s">
        <v>67</v>
      </c>
      <c r="G11" s="15" t="s">
        <v>230</v>
      </c>
      <c r="H11" s="8" t="s">
        <v>228</v>
      </c>
      <c r="I11" s="9">
        <v>46208</v>
      </c>
      <c r="J11" s="8"/>
      <c r="K11" s="8"/>
      <c r="L11" s="8"/>
      <c r="M11" s="2"/>
    </row>
    <row r="12" spans="1:13">
      <c r="A12" s="8" t="s">
        <v>43</v>
      </c>
      <c r="B12" s="8" t="s">
        <v>68</v>
      </c>
      <c r="C12" s="8" t="s">
        <v>45</v>
      </c>
      <c r="D12" s="8" t="s">
        <v>46</v>
      </c>
      <c r="E12" s="8" t="s">
        <v>69</v>
      </c>
      <c r="F12" s="8" t="s">
        <v>70</v>
      </c>
      <c r="G12" s="15" t="s">
        <v>230</v>
      </c>
      <c r="H12" s="8" t="s">
        <v>228</v>
      </c>
      <c r="I12" s="9">
        <v>46208</v>
      </c>
      <c r="J12" s="8"/>
      <c r="K12" s="8"/>
      <c r="L12" s="8"/>
      <c r="M12" s="2"/>
    </row>
    <row r="13" spans="1:13">
      <c r="A13" s="8" t="s">
        <v>71</v>
      </c>
      <c r="B13" s="8" t="s">
        <v>72</v>
      </c>
      <c r="C13" s="8" t="s">
        <v>45</v>
      </c>
      <c r="D13" s="8" t="s">
        <v>46</v>
      </c>
      <c r="E13" s="8" t="s">
        <v>73</v>
      </c>
      <c r="F13" s="8" t="s">
        <v>74</v>
      </c>
      <c r="G13" s="15" t="s">
        <v>230</v>
      </c>
      <c r="H13" s="8" t="s">
        <v>228</v>
      </c>
      <c r="I13" s="9">
        <v>46208</v>
      </c>
      <c r="J13" s="8"/>
      <c r="K13" s="8"/>
      <c r="L13" s="8"/>
      <c r="M13" s="2"/>
    </row>
    <row r="14" spans="1:13">
      <c r="A14" s="8" t="s">
        <v>71</v>
      </c>
      <c r="B14" s="8" t="s">
        <v>75</v>
      </c>
      <c r="C14" s="8" t="s">
        <v>45</v>
      </c>
      <c r="D14" s="8" t="s">
        <v>46</v>
      </c>
      <c r="E14" s="8" t="s">
        <v>76</v>
      </c>
      <c r="F14" s="8" t="s">
        <v>77</v>
      </c>
      <c r="G14" s="15" t="s">
        <v>230</v>
      </c>
      <c r="H14" s="8" t="s">
        <v>228</v>
      </c>
      <c r="I14" s="9">
        <v>46208</v>
      </c>
      <c r="J14" s="8"/>
      <c r="K14" s="8"/>
      <c r="L14" s="8"/>
      <c r="M14" s="2"/>
    </row>
    <row r="15" spans="1:13">
      <c r="A15" s="8" t="s">
        <v>78</v>
      </c>
      <c r="B15" s="8" t="s">
        <v>79</v>
      </c>
      <c r="C15" s="8" t="s">
        <v>45</v>
      </c>
      <c r="D15" s="8" t="s">
        <v>46</v>
      </c>
      <c r="E15" s="8" t="s">
        <v>80</v>
      </c>
      <c r="F15" s="8" t="s">
        <v>81</v>
      </c>
      <c r="G15" s="15" t="s">
        <v>230</v>
      </c>
      <c r="H15" s="8" t="s">
        <v>228</v>
      </c>
      <c r="I15" s="9">
        <v>46208</v>
      </c>
      <c r="J15" s="8"/>
      <c r="K15" s="8"/>
      <c r="L15" s="8"/>
      <c r="M15" s="2"/>
    </row>
    <row r="16" spans="1:13">
      <c r="A16" s="8" t="s">
        <v>78</v>
      </c>
      <c r="B16" s="8" t="s">
        <v>82</v>
      </c>
      <c r="C16" s="8" t="s">
        <v>45</v>
      </c>
      <c r="D16" s="8" t="s">
        <v>46</v>
      </c>
      <c r="E16" s="8" t="s">
        <v>83</v>
      </c>
      <c r="F16" s="8" t="s">
        <v>84</v>
      </c>
      <c r="G16" s="15" t="s">
        <v>230</v>
      </c>
      <c r="H16" s="8" t="s">
        <v>228</v>
      </c>
      <c r="I16" s="9">
        <v>46208</v>
      </c>
      <c r="J16" s="8"/>
      <c r="K16" s="8"/>
      <c r="L16" s="8"/>
      <c r="M16" s="2"/>
    </row>
    <row r="17" spans="1:13">
      <c r="A17" s="8" t="s">
        <v>78</v>
      </c>
      <c r="B17" s="8" t="s">
        <v>85</v>
      </c>
      <c r="C17" s="8" t="s">
        <v>65</v>
      </c>
      <c r="D17" s="8" t="s">
        <v>46</v>
      </c>
      <c r="E17" s="8" t="s">
        <v>86</v>
      </c>
      <c r="F17" s="8" t="s">
        <v>87</v>
      </c>
      <c r="G17" s="15" t="s">
        <v>230</v>
      </c>
      <c r="H17" s="8" t="s">
        <v>228</v>
      </c>
      <c r="I17" s="9">
        <v>46208</v>
      </c>
      <c r="J17" s="8"/>
      <c r="K17" s="8"/>
      <c r="L17" s="8"/>
      <c r="M17" s="2"/>
    </row>
    <row r="18" spans="1:13">
      <c r="A18" s="8" t="s">
        <v>88</v>
      </c>
      <c r="B18" s="8" t="s">
        <v>89</v>
      </c>
      <c r="C18" s="8" t="s">
        <v>45</v>
      </c>
      <c r="D18" s="8" t="s">
        <v>46</v>
      </c>
      <c r="E18" s="8" t="s">
        <v>90</v>
      </c>
      <c r="F18" s="8" t="s">
        <v>91</v>
      </c>
      <c r="G18" s="15" t="s">
        <v>230</v>
      </c>
      <c r="H18" s="8" t="s">
        <v>228</v>
      </c>
      <c r="I18" s="9">
        <v>46208</v>
      </c>
      <c r="J18" s="8"/>
      <c r="K18" s="8"/>
      <c r="L18" s="8"/>
      <c r="M18" s="2"/>
    </row>
    <row r="19" spans="1:13">
      <c r="A19" s="8" t="s">
        <v>88</v>
      </c>
      <c r="B19" s="8" t="s">
        <v>92</v>
      </c>
      <c r="C19" s="8" t="s">
        <v>45</v>
      </c>
      <c r="D19" s="8" t="s">
        <v>46</v>
      </c>
      <c r="E19" s="8" t="s">
        <v>93</v>
      </c>
      <c r="F19" s="8" t="s">
        <v>94</v>
      </c>
      <c r="G19" s="15" t="s">
        <v>230</v>
      </c>
      <c r="H19" s="8" t="s">
        <v>228</v>
      </c>
      <c r="I19" s="9">
        <v>46208</v>
      </c>
      <c r="J19" s="8"/>
      <c r="K19" s="8"/>
      <c r="L19" s="8"/>
      <c r="M19" s="2"/>
    </row>
    <row r="20" spans="1:13">
      <c r="A20" s="8" t="s">
        <v>88</v>
      </c>
      <c r="B20" s="8" t="s">
        <v>95</v>
      </c>
      <c r="C20" s="8" t="s">
        <v>45</v>
      </c>
      <c r="D20" s="8" t="s">
        <v>46</v>
      </c>
      <c r="E20" s="8" t="s">
        <v>96</v>
      </c>
      <c r="F20" s="8" t="s">
        <v>97</v>
      </c>
      <c r="G20" s="15" t="s">
        <v>230</v>
      </c>
      <c r="H20" s="8" t="s">
        <v>228</v>
      </c>
      <c r="I20" s="9">
        <v>46208</v>
      </c>
      <c r="J20" s="8"/>
      <c r="K20" s="8"/>
      <c r="L20" s="8"/>
      <c r="M20" s="2"/>
    </row>
    <row r="21" spans="1:13">
      <c r="A21" s="8" t="s">
        <v>88</v>
      </c>
      <c r="B21" s="8" t="s">
        <v>98</v>
      </c>
      <c r="C21" s="8" t="s">
        <v>45</v>
      </c>
      <c r="D21" s="8" t="s">
        <v>46</v>
      </c>
      <c r="E21" s="8" t="s">
        <v>99</v>
      </c>
      <c r="F21" s="8" t="s">
        <v>100</v>
      </c>
      <c r="G21" s="15" t="s">
        <v>230</v>
      </c>
      <c r="H21" s="8" t="s">
        <v>228</v>
      </c>
      <c r="I21" s="9">
        <v>46208</v>
      </c>
      <c r="J21" s="8"/>
      <c r="K21" s="8"/>
      <c r="L21" s="8"/>
      <c r="M21" s="2"/>
    </row>
    <row r="22" spans="1:13">
      <c r="A22" s="8" t="s">
        <v>88</v>
      </c>
      <c r="B22" s="8" t="s">
        <v>101</v>
      </c>
      <c r="C22" s="8" t="s">
        <v>45</v>
      </c>
      <c r="D22" s="8" t="s">
        <v>46</v>
      </c>
      <c r="E22" s="8" t="s">
        <v>102</v>
      </c>
      <c r="F22" s="8" t="s">
        <v>103</v>
      </c>
      <c r="G22" s="15" t="s">
        <v>230</v>
      </c>
      <c r="H22" s="8" t="s">
        <v>228</v>
      </c>
      <c r="I22" s="9">
        <v>46208</v>
      </c>
      <c r="J22" s="8"/>
      <c r="K22" s="8"/>
      <c r="L22" s="8"/>
      <c r="M22" s="2"/>
    </row>
    <row r="23" spans="1:13">
      <c r="A23" s="8" t="s">
        <v>104</v>
      </c>
      <c r="B23" s="8" t="s">
        <v>105</v>
      </c>
      <c r="C23" s="8" t="s">
        <v>45</v>
      </c>
      <c r="D23" s="8" t="s">
        <v>46</v>
      </c>
      <c r="E23" s="8" t="s">
        <v>106</v>
      </c>
      <c r="F23" s="8" t="s">
        <v>107</v>
      </c>
      <c r="G23" s="15" t="s">
        <v>230</v>
      </c>
      <c r="H23" s="8" t="s">
        <v>228</v>
      </c>
      <c r="I23" s="9">
        <v>46208</v>
      </c>
      <c r="J23" s="8"/>
      <c r="K23" s="8"/>
      <c r="L23" s="8"/>
      <c r="M23" s="2"/>
    </row>
    <row r="24" spans="1:13">
      <c r="A24" s="8" t="s">
        <v>104</v>
      </c>
      <c r="B24" s="8" t="s">
        <v>108</v>
      </c>
      <c r="C24" s="8" t="s">
        <v>45</v>
      </c>
      <c r="D24" s="8" t="s">
        <v>46</v>
      </c>
      <c r="E24" s="8" t="s">
        <v>109</v>
      </c>
      <c r="F24" s="8" t="s">
        <v>110</v>
      </c>
      <c r="G24" s="15" t="s">
        <v>230</v>
      </c>
      <c r="H24" s="8" t="s">
        <v>228</v>
      </c>
      <c r="I24" s="9">
        <v>46208</v>
      </c>
      <c r="J24" s="8"/>
      <c r="K24" s="8"/>
      <c r="L24" s="10"/>
      <c r="M24" s="2"/>
    </row>
    <row r="25" spans="1:13">
      <c r="A25" s="8" t="s">
        <v>111</v>
      </c>
      <c r="B25" s="8" t="s">
        <v>112</v>
      </c>
      <c r="C25" s="8" t="s">
        <v>35</v>
      </c>
      <c r="D25" s="8" t="s">
        <v>46</v>
      </c>
      <c r="E25" s="8" t="s">
        <v>113</v>
      </c>
      <c r="F25" s="8" t="s">
        <v>114</v>
      </c>
      <c r="G25" s="15" t="s">
        <v>230</v>
      </c>
      <c r="H25" s="8" t="s">
        <v>228</v>
      </c>
      <c r="I25" s="9">
        <v>46208</v>
      </c>
      <c r="J25" s="8"/>
      <c r="K25" s="8"/>
      <c r="L25" s="8"/>
      <c r="M25" s="2"/>
    </row>
    <row r="26" spans="1:13">
      <c r="A26" s="8" t="s">
        <v>111</v>
      </c>
      <c r="B26" s="8" t="s">
        <v>115</v>
      </c>
      <c r="C26" s="8" t="s">
        <v>35</v>
      </c>
      <c r="D26" s="8" t="s">
        <v>46</v>
      </c>
      <c r="E26" s="8" t="s">
        <v>116</v>
      </c>
      <c r="F26" s="8" t="s">
        <v>117</v>
      </c>
      <c r="G26" s="15" t="s">
        <v>230</v>
      </c>
      <c r="H26" s="8" t="s">
        <v>228</v>
      </c>
      <c r="I26" s="9">
        <v>46208</v>
      </c>
      <c r="J26" s="8"/>
      <c r="K26" s="8"/>
      <c r="L26" s="8"/>
      <c r="M26" s="2"/>
    </row>
    <row r="27" spans="1:13">
      <c r="A27" s="8" t="s">
        <v>111</v>
      </c>
      <c r="B27" s="8" t="s">
        <v>118</v>
      </c>
      <c r="C27" s="8" t="s">
        <v>35</v>
      </c>
      <c r="D27" s="8" t="s">
        <v>46</v>
      </c>
      <c r="E27" s="8" t="s">
        <v>119</v>
      </c>
      <c r="F27" s="8" t="s">
        <v>120</v>
      </c>
      <c r="G27" s="15" t="s">
        <v>230</v>
      </c>
      <c r="H27" s="8" t="s">
        <v>228</v>
      </c>
      <c r="I27" s="9">
        <v>46208</v>
      </c>
      <c r="J27" s="8"/>
      <c r="K27" s="8"/>
      <c r="L27" s="8"/>
      <c r="M27" s="2"/>
    </row>
    <row r="28" spans="1:13">
      <c r="A28" s="8" t="s">
        <v>121</v>
      </c>
      <c r="B28" s="8" t="s">
        <v>122</v>
      </c>
      <c r="C28" s="8" t="s">
        <v>123</v>
      </c>
      <c r="D28" s="8" t="s">
        <v>46</v>
      </c>
      <c r="E28" s="8" t="s">
        <v>124</v>
      </c>
      <c r="F28" s="8" t="s">
        <v>125</v>
      </c>
      <c r="G28" s="15" t="s">
        <v>230</v>
      </c>
      <c r="H28" s="8" t="s">
        <v>228</v>
      </c>
      <c r="I28" s="9">
        <v>46208</v>
      </c>
      <c r="J28" s="8"/>
      <c r="K28" s="8"/>
      <c r="L28" s="8"/>
      <c r="M28" s="2"/>
    </row>
    <row r="29" spans="1:13">
      <c r="A29" s="8" t="s">
        <v>121</v>
      </c>
      <c r="B29" s="8" t="s">
        <v>122</v>
      </c>
      <c r="C29" s="8" t="s">
        <v>126</v>
      </c>
      <c r="D29" s="8" t="s">
        <v>46</v>
      </c>
      <c r="E29" s="8" t="s">
        <v>127</v>
      </c>
      <c r="F29" s="8" t="s">
        <v>128</v>
      </c>
      <c r="G29" s="15" t="s">
        <v>230</v>
      </c>
      <c r="H29" s="8" t="s">
        <v>228</v>
      </c>
      <c r="I29" s="9">
        <v>46250</v>
      </c>
      <c r="J29" s="8"/>
      <c r="K29" s="8"/>
      <c r="L29" s="8"/>
      <c r="M29" s="2"/>
    </row>
    <row r="30" spans="1:13">
      <c r="A30" s="8" t="s">
        <v>121</v>
      </c>
      <c r="B30" s="8" t="s">
        <v>122</v>
      </c>
      <c r="C30" s="8" t="s">
        <v>129</v>
      </c>
      <c r="D30" s="8" t="s">
        <v>46</v>
      </c>
      <c r="E30" s="8" t="s">
        <v>130</v>
      </c>
      <c r="F30" s="8" t="s">
        <v>131</v>
      </c>
      <c r="G30" s="15" t="s">
        <v>230</v>
      </c>
      <c r="H30" s="8" t="s">
        <v>228</v>
      </c>
      <c r="I30" s="9">
        <v>46250</v>
      </c>
      <c r="J30" s="8"/>
      <c r="K30" s="8"/>
      <c r="L30" s="8"/>
      <c r="M30" s="2"/>
    </row>
    <row r="31" spans="1:13">
      <c r="A31" s="8" t="s">
        <v>121</v>
      </c>
      <c r="B31" s="8" t="s">
        <v>122</v>
      </c>
      <c r="C31" s="8" t="s">
        <v>132</v>
      </c>
      <c r="D31" s="8" t="s">
        <v>46</v>
      </c>
      <c r="E31" s="8" t="s">
        <v>133</v>
      </c>
      <c r="F31" s="8" t="s">
        <v>134</v>
      </c>
      <c r="G31" s="15" t="s">
        <v>230</v>
      </c>
      <c r="H31" s="8" t="s">
        <v>228</v>
      </c>
      <c r="I31" s="9">
        <v>46208</v>
      </c>
      <c r="J31" s="8"/>
      <c r="K31" s="8"/>
      <c r="L31" s="8"/>
      <c r="M31" s="2"/>
    </row>
    <row r="32" spans="1:13">
      <c r="A32" s="8" t="s">
        <v>121</v>
      </c>
      <c r="B32" s="8" t="s">
        <v>122</v>
      </c>
      <c r="C32" s="8" t="s">
        <v>135</v>
      </c>
      <c r="D32" s="8" t="s">
        <v>46</v>
      </c>
      <c r="E32" s="8" t="s">
        <v>136</v>
      </c>
      <c r="F32" s="8" t="s">
        <v>137</v>
      </c>
      <c r="G32" s="15" t="s">
        <v>230</v>
      </c>
      <c r="H32" s="8" t="s">
        <v>228</v>
      </c>
      <c r="I32" s="9">
        <v>46250</v>
      </c>
      <c r="J32" s="8"/>
      <c r="K32" s="8"/>
      <c r="L32" s="8"/>
      <c r="M32" s="2"/>
    </row>
    <row r="33" spans="1:13">
      <c r="A33" s="8" t="s">
        <v>121</v>
      </c>
      <c r="B33" s="8" t="s">
        <v>122</v>
      </c>
      <c r="C33" s="8" t="s">
        <v>138</v>
      </c>
      <c r="D33" s="8" t="s">
        <v>46</v>
      </c>
      <c r="E33" s="8" t="s">
        <v>139</v>
      </c>
      <c r="F33" s="8" t="s">
        <v>140</v>
      </c>
      <c r="G33" s="15" t="s">
        <v>230</v>
      </c>
      <c r="H33" s="8" t="s">
        <v>228</v>
      </c>
      <c r="I33" s="9">
        <v>46250</v>
      </c>
      <c r="J33" s="8"/>
      <c r="K33" s="8"/>
      <c r="L33" s="8"/>
      <c r="M33" s="2"/>
    </row>
    <row r="34" spans="1:13">
      <c r="A34" s="8" t="s">
        <v>141</v>
      </c>
      <c r="B34" s="8" t="s">
        <v>142</v>
      </c>
      <c r="C34" s="8" t="s">
        <v>35</v>
      </c>
      <c r="D34" s="8" t="s">
        <v>46</v>
      </c>
      <c r="E34" s="8" t="s">
        <v>143</v>
      </c>
      <c r="F34" s="8" t="s">
        <v>144</v>
      </c>
      <c r="G34" s="15" t="s">
        <v>230</v>
      </c>
      <c r="H34" s="8" t="s">
        <v>228</v>
      </c>
      <c r="I34" s="9">
        <v>46250</v>
      </c>
      <c r="J34" s="8"/>
      <c r="K34" s="8"/>
      <c r="L34" s="8"/>
      <c r="M34" s="2"/>
    </row>
    <row r="35" spans="1:13">
      <c r="A35" s="8" t="s">
        <v>141</v>
      </c>
      <c r="B35" s="8" t="s">
        <v>142</v>
      </c>
      <c r="C35" s="8" t="s">
        <v>35</v>
      </c>
      <c r="D35" s="8" t="s">
        <v>46</v>
      </c>
      <c r="E35" s="8" t="s">
        <v>145</v>
      </c>
      <c r="F35" s="8" t="s">
        <v>146</v>
      </c>
      <c r="G35" s="15" t="s">
        <v>230</v>
      </c>
      <c r="H35" s="8" t="s">
        <v>228</v>
      </c>
      <c r="I35" s="9">
        <v>46208</v>
      </c>
      <c r="J35" s="8"/>
      <c r="K35" s="8"/>
      <c r="L35" s="8"/>
      <c r="M35" s="2"/>
    </row>
    <row r="36" spans="1:13">
      <c r="A36" s="8" t="s">
        <v>147</v>
      </c>
      <c r="B36" s="8" t="s">
        <v>148</v>
      </c>
      <c r="C36" s="8" t="s">
        <v>149</v>
      </c>
      <c r="D36" s="8" t="s">
        <v>46</v>
      </c>
      <c r="E36" s="8" t="s">
        <v>150</v>
      </c>
      <c r="F36" s="8" t="s">
        <v>151</v>
      </c>
      <c r="G36" s="15" t="s">
        <v>230</v>
      </c>
      <c r="H36" s="8" t="s">
        <v>228</v>
      </c>
      <c r="I36" s="9">
        <v>46208</v>
      </c>
      <c r="J36" s="8"/>
      <c r="K36" s="8"/>
      <c r="L36" s="8"/>
      <c r="M36" s="2"/>
    </row>
    <row r="37" spans="1:13">
      <c r="A37" s="8" t="s">
        <v>147</v>
      </c>
      <c r="B37" s="8" t="s">
        <v>152</v>
      </c>
      <c r="C37" s="8" t="s">
        <v>153</v>
      </c>
      <c r="D37" s="8" t="s">
        <v>46</v>
      </c>
      <c r="E37" s="8" t="s">
        <v>154</v>
      </c>
      <c r="F37" s="8" t="s">
        <v>155</v>
      </c>
      <c r="G37" s="15" t="s">
        <v>230</v>
      </c>
      <c r="H37" s="8" t="s">
        <v>228</v>
      </c>
      <c r="I37" s="9">
        <v>46208</v>
      </c>
      <c r="J37" s="8"/>
      <c r="K37" s="8"/>
      <c r="L37" s="8"/>
      <c r="M37" s="2"/>
    </row>
    <row r="38" spans="1:13">
      <c r="A38" s="8" t="s">
        <v>147</v>
      </c>
      <c r="B38" s="8" t="s">
        <v>156</v>
      </c>
      <c r="C38" s="8" t="s">
        <v>153</v>
      </c>
      <c r="D38" s="8" t="s">
        <v>46</v>
      </c>
      <c r="E38" s="8" t="s">
        <v>157</v>
      </c>
      <c r="F38" s="8" t="s">
        <v>234</v>
      </c>
      <c r="G38" s="15" t="s">
        <v>230</v>
      </c>
      <c r="H38" s="8" t="s">
        <v>228</v>
      </c>
      <c r="I38" s="9">
        <v>46208</v>
      </c>
      <c r="J38" s="8"/>
      <c r="K38" s="8"/>
      <c r="L38" s="8"/>
      <c r="M38" s="2"/>
    </row>
    <row r="39" spans="1:13">
      <c r="A39" s="8" t="s">
        <v>158</v>
      </c>
      <c r="B39" s="8" t="s">
        <v>159</v>
      </c>
      <c r="C39" s="8" t="s">
        <v>160</v>
      </c>
      <c r="D39" s="8" t="s">
        <v>46</v>
      </c>
      <c r="E39" s="8" t="s">
        <v>161</v>
      </c>
      <c r="F39" s="8" t="s">
        <v>162</v>
      </c>
      <c r="G39" s="15" t="s">
        <v>230</v>
      </c>
      <c r="H39" s="8" t="s">
        <v>228</v>
      </c>
      <c r="I39" s="9">
        <v>46208</v>
      </c>
      <c r="J39" s="8"/>
      <c r="K39" s="8"/>
      <c r="L39" s="8"/>
      <c r="M39" s="2"/>
    </row>
    <row r="40" spans="1:13">
      <c r="A40" s="8" t="s">
        <v>158</v>
      </c>
      <c r="B40" s="8" t="s">
        <v>163</v>
      </c>
      <c r="C40" s="8" t="s">
        <v>164</v>
      </c>
      <c r="D40" s="8" t="s">
        <v>46</v>
      </c>
      <c r="E40" s="8" t="s">
        <v>165</v>
      </c>
      <c r="F40" s="8" t="s">
        <v>235</v>
      </c>
      <c r="G40" s="15" t="s">
        <v>230</v>
      </c>
      <c r="H40" s="8" t="s">
        <v>228</v>
      </c>
      <c r="I40" s="9">
        <v>46208</v>
      </c>
      <c r="J40" s="8"/>
      <c r="K40" s="8"/>
      <c r="L40" s="8"/>
      <c r="M40" s="2"/>
    </row>
    <row r="41" spans="1:13">
      <c r="A41" s="8" t="s">
        <v>166</v>
      </c>
      <c r="B41" s="8" t="s">
        <v>167</v>
      </c>
      <c r="C41" s="8" t="s">
        <v>168</v>
      </c>
      <c r="D41" s="8" t="s">
        <v>169</v>
      </c>
      <c r="E41" s="8" t="s">
        <v>170</v>
      </c>
      <c r="F41" s="8" t="s">
        <v>171</v>
      </c>
      <c r="G41" s="15" t="s">
        <v>230</v>
      </c>
      <c r="H41" s="8" t="s">
        <v>228</v>
      </c>
      <c r="I41" s="9">
        <v>46208</v>
      </c>
      <c r="J41" s="8"/>
      <c r="K41" s="8"/>
      <c r="L41" s="8"/>
      <c r="M41" s="2"/>
    </row>
    <row r="42" spans="1:13">
      <c r="A42" s="8" t="s">
        <v>166</v>
      </c>
      <c r="B42" s="8" t="s">
        <v>172</v>
      </c>
      <c r="C42" s="8" t="s">
        <v>46</v>
      </c>
      <c r="D42" s="8" t="s">
        <v>46</v>
      </c>
      <c r="E42" s="8" t="s">
        <v>173</v>
      </c>
      <c r="F42" s="8" t="s">
        <v>174</v>
      </c>
      <c r="G42" s="15" t="s">
        <v>230</v>
      </c>
      <c r="H42" s="8" t="s">
        <v>228</v>
      </c>
      <c r="I42" s="9">
        <v>46208</v>
      </c>
      <c r="J42" s="8"/>
      <c r="K42" s="8"/>
      <c r="L42" s="8"/>
      <c r="M42" s="2"/>
    </row>
    <row r="43" spans="1:13">
      <c r="A43" s="8" t="s">
        <v>166</v>
      </c>
      <c r="B43" s="8" t="s">
        <v>175</v>
      </c>
      <c r="C43" s="8" t="s">
        <v>176</v>
      </c>
      <c r="D43" s="8" t="s">
        <v>177</v>
      </c>
      <c r="E43" s="8" t="s">
        <v>178</v>
      </c>
      <c r="F43" s="8" t="s">
        <v>179</v>
      </c>
      <c r="G43" s="15" t="s">
        <v>230</v>
      </c>
      <c r="H43" s="8" t="s">
        <v>228</v>
      </c>
      <c r="I43" s="9">
        <v>46208</v>
      </c>
      <c r="J43" s="8"/>
      <c r="K43" s="8"/>
      <c r="L43" s="8"/>
      <c r="M43" s="2"/>
    </row>
    <row r="44" spans="1:13">
      <c r="A44" s="8" t="s">
        <v>166</v>
      </c>
      <c r="B44" s="8" t="s">
        <v>180</v>
      </c>
      <c r="C44" s="8" t="s">
        <v>46</v>
      </c>
      <c r="D44" s="8" t="s">
        <v>46</v>
      </c>
      <c r="E44" s="8" t="s">
        <v>181</v>
      </c>
      <c r="F44" s="8" t="s">
        <v>182</v>
      </c>
      <c r="G44" s="15" t="s">
        <v>230</v>
      </c>
      <c r="H44" s="8" t="s">
        <v>228</v>
      </c>
      <c r="I44" s="9">
        <v>46208</v>
      </c>
      <c r="J44" s="8"/>
      <c r="K44" s="8"/>
      <c r="L44" s="8"/>
      <c r="M44" s="2"/>
    </row>
    <row r="45" spans="1:13">
      <c r="A45" s="8" t="s">
        <v>166</v>
      </c>
      <c r="B45" s="8" t="s">
        <v>183</v>
      </c>
      <c r="C45" s="8" t="s">
        <v>35</v>
      </c>
      <c r="D45" s="8" t="s">
        <v>46</v>
      </c>
      <c r="E45" s="8" t="s">
        <v>184</v>
      </c>
      <c r="F45" s="8" t="s">
        <v>185</v>
      </c>
      <c r="G45" s="15" t="s">
        <v>230</v>
      </c>
      <c r="H45" s="8" t="s">
        <v>228</v>
      </c>
      <c r="I45" s="9">
        <v>46208</v>
      </c>
      <c r="J45" s="8"/>
      <c r="K45" s="8"/>
      <c r="L45" s="8"/>
      <c r="M45" s="2"/>
    </row>
    <row r="46" spans="1:13">
      <c r="A46" s="8" t="s">
        <v>186</v>
      </c>
      <c r="B46" s="8" t="s">
        <v>187</v>
      </c>
      <c r="C46" s="8" t="s">
        <v>188</v>
      </c>
      <c r="D46" s="8" t="s">
        <v>46</v>
      </c>
      <c r="E46" s="8" t="s">
        <v>189</v>
      </c>
      <c r="F46" s="8" t="s">
        <v>190</v>
      </c>
      <c r="G46" s="15" t="s">
        <v>230</v>
      </c>
      <c r="H46" s="8" t="s">
        <v>228</v>
      </c>
      <c r="I46" s="9">
        <v>46208</v>
      </c>
      <c r="J46" s="8"/>
      <c r="K46" s="8"/>
      <c r="L46" s="8"/>
      <c r="M46" s="2"/>
    </row>
    <row r="47" spans="1:13">
      <c r="A47" s="8" t="s">
        <v>186</v>
      </c>
      <c r="B47" s="8" t="s">
        <v>187</v>
      </c>
      <c r="C47" s="8" t="s">
        <v>191</v>
      </c>
      <c r="D47" s="8" t="s">
        <v>46</v>
      </c>
      <c r="E47" s="8" t="s">
        <v>189</v>
      </c>
      <c r="F47" s="8" t="s">
        <v>192</v>
      </c>
      <c r="G47" s="15" t="s">
        <v>230</v>
      </c>
      <c r="H47" s="8" t="s">
        <v>228</v>
      </c>
      <c r="I47" s="9">
        <v>46208</v>
      </c>
      <c r="J47" s="8"/>
      <c r="K47" s="8"/>
      <c r="L47" s="8"/>
      <c r="M47" s="2"/>
    </row>
    <row r="48" spans="1:13">
      <c r="A48" s="8" t="s">
        <v>186</v>
      </c>
      <c r="B48" s="8" t="s">
        <v>187</v>
      </c>
      <c r="C48" s="8" t="s">
        <v>193</v>
      </c>
      <c r="D48" s="8" t="s">
        <v>46</v>
      </c>
      <c r="E48" s="8" t="s">
        <v>189</v>
      </c>
      <c r="F48" s="8" t="s">
        <v>194</v>
      </c>
      <c r="G48" s="15" t="s">
        <v>230</v>
      </c>
      <c r="H48" s="8" t="s">
        <v>228</v>
      </c>
      <c r="I48" s="9">
        <v>46208</v>
      </c>
      <c r="J48" s="8"/>
      <c r="K48" s="8"/>
      <c r="L48" s="8"/>
      <c r="M48" s="2"/>
    </row>
    <row r="49" spans="1:13">
      <c r="A49" s="8" t="s">
        <v>186</v>
      </c>
      <c r="B49" s="8" t="s">
        <v>187</v>
      </c>
      <c r="C49" s="8" t="s">
        <v>195</v>
      </c>
      <c r="D49" s="8" t="s">
        <v>46</v>
      </c>
      <c r="E49" s="8" t="s">
        <v>189</v>
      </c>
      <c r="F49" s="8" t="s">
        <v>196</v>
      </c>
      <c r="G49" s="15" t="s">
        <v>230</v>
      </c>
      <c r="H49" s="8" t="s">
        <v>228</v>
      </c>
      <c r="I49" s="9">
        <v>46208</v>
      </c>
      <c r="J49" s="8"/>
      <c r="K49" s="8"/>
      <c r="L49" s="8"/>
      <c r="M49" s="2"/>
    </row>
    <row r="50" spans="1:13">
      <c r="A50" s="8" t="s">
        <v>186</v>
      </c>
      <c r="B50" s="8" t="s">
        <v>187</v>
      </c>
      <c r="C50" s="8" t="s">
        <v>197</v>
      </c>
      <c r="D50" s="8" t="s">
        <v>46</v>
      </c>
      <c r="E50" s="8" t="s">
        <v>189</v>
      </c>
      <c r="F50" s="8" t="s">
        <v>198</v>
      </c>
      <c r="G50" s="15" t="s">
        <v>230</v>
      </c>
      <c r="H50" s="8" t="s">
        <v>228</v>
      </c>
      <c r="I50" s="9">
        <v>46208</v>
      </c>
      <c r="J50" s="8"/>
      <c r="K50" s="8"/>
      <c r="L50" s="8"/>
      <c r="M50" s="2"/>
    </row>
    <row r="51" spans="1:13">
      <c r="A51" s="8" t="s">
        <v>199</v>
      </c>
      <c r="B51" s="8" t="s">
        <v>200</v>
      </c>
      <c r="C51" s="8" t="s">
        <v>201</v>
      </c>
      <c r="D51" s="8" t="s">
        <v>46</v>
      </c>
      <c r="E51" s="8" t="s">
        <v>202</v>
      </c>
      <c r="F51" s="8" t="s">
        <v>203</v>
      </c>
      <c r="G51" s="15" t="s">
        <v>230</v>
      </c>
      <c r="H51" s="8" t="s">
        <v>228</v>
      </c>
      <c r="I51" s="9">
        <v>46208</v>
      </c>
      <c r="J51" s="8"/>
      <c r="K51" s="8"/>
      <c r="L51" s="8"/>
      <c r="M51" s="2"/>
    </row>
    <row r="52" spans="1:13">
      <c r="A52" s="8" t="s">
        <v>204</v>
      </c>
      <c r="B52" s="8" t="s">
        <v>205</v>
      </c>
      <c r="C52" s="8" t="s">
        <v>201</v>
      </c>
      <c r="D52" s="8" t="s">
        <v>46</v>
      </c>
      <c r="E52" s="8" t="s">
        <v>206</v>
      </c>
      <c r="F52" s="8" t="s">
        <v>207</v>
      </c>
      <c r="G52" s="15" t="s">
        <v>230</v>
      </c>
      <c r="H52" s="8" t="s">
        <v>228</v>
      </c>
      <c r="I52" s="9">
        <v>46208</v>
      </c>
      <c r="J52" s="8"/>
      <c r="K52" s="8"/>
      <c r="L52" s="8"/>
      <c r="M52" s="2"/>
    </row>
    <row r="53" spans="1:13">
      <c r="A53" s="8" t="s">
        <v>208</v>
      </c>
      <c r="B53" s="8" t="s">
        <v>209</v>
      </c>
      <c r="C53" s="8" t="s">
        <v>210</v>
      </c>
      <c r="D53" s="8" t="s">
        <v>46</v>
      </c>
      <c r="E53" s="8" t="s">
        <v>211</v>
      </c>
      <c r="F53" s="8" t="s">
        <v>212</v>
      </c>
      <c r="G53" s="15" t="s">
        <v>230</v>
      </c>
      <c r="H53" s="8" t="s">
        <v>228</v>
      </c>
      <c r="I53" s="9">
        <v>46208</v>
      </c>
      <c r="J53" s="8"/>
      <c r="K53" s="8"/>
      <c r="L53" s="8"/>
      <c r="M53" s="2"/>
    </row>
    <row r="54" spans="1:13">
      <c r="A54" s="8" t="s">
        <v>208</v>
      </c>
      <c r="B54" s="8" t="s">
        <v>209</v>
      </c>
      <c r="C54" s="8" t="s">
        <v>213</v>
      </c>
      <c r="D54" s="8" t="s">
        <v>46</v>
      </c>
      <c r="E54" s="8" t="s">
        <v>211</v>
      </c>
      <c r="F54" s="8" t="s">
        <v>212</v>
      </c>
      <c r="G54" s="15" t="s">
        <v>230</v>
      </c>
      <c r="H54" s="8" t="s">
        <v>228</v>
      </c>
      <c r="I54" s="9">
        <v>46208</v>
      </c>
      <c r="J54" s="8"/>
      <c r="K54" s="8"/>
      <c r="L54" s="8"/>
      <c r="M54" s="2"/>
    </row>
    <row r="55" spans="1:13">
      <c r="A55" s="8" t="s">
        <v>208</v>
      </c>
      <c r="B55" s="8" t="s">
        <v>209</v>
      </c>
      <c r="C55" s="8" t="s">
        <v>237</v>
      </c>
      <c r="D55" s="8" t="s">
        <v>46</v>
      </c>
      <c r="E55" s="8" t="s">
        <v>211</v>
      </c>
      <c r="F55" s="8" t="s">
        <v>212</v>
      </c>
      <c r="G55" s="15" t="s">
        <v>230</v>
      </c>
      <c r="H55" s="8" t="s">
        <v>228</v>
      </c>
      <c r="I55" s="9">
        <v>46208</v>
      </c>
      <c r="J55" s="8"/>
      <c r="K55" s="8"/>
      <c r="L55" s="8"/>
      <c r="M55" s="2"/>
    </row>
    <row r="56" spans="1:13">
      <c r="A56" s="8" t="s">
        <v>208</v>
      </c>
      <c r="B56" s="8" t="s">
        <v>209</v>
      </c>
      <c r="C56" s="8" t="s">
        <v>214</v>
      </c>
      <c r="D56" s="8" t="s">
        <v>46</v>
      </c>
      <c r="E56" s="8" t="s">
        <v>211</v>
      </c>
      <c r="F56" s="8" t="s">
        <v>212</v>
      </c>
      <c r="G56" s="15" t="s">
        <v>230</v>
      </c>
      <c r="H56" s="8" t="s">
        <v>228</v>
      </c>
      <c r="I56" s="9">
        <v>46208</v>
      </c>
      <c r="J56" s="8"/>
      <c r="K56" s="8"/>
      <c r="L56" s="8"/>
      <c r="M56" s="2"/>
    </row>
    <row r="57" spans="1:13">
      <c r="A57" s="8" t="s">
        <v>215</v>
      </c>
      <c r="B57" s="8" t="s">
        <v>216</v>
      </c>
      <c r="C57" s="8" t="s">
        <v>35</v>
      </c>
      <c r="D57" s="8" t="s">
        <v>46</v>
      </c>
      <c r="E57" s="8" t="s">
        <v>217</v>
      </c>
      <c r="F57" s="8" t="s">
        <v>218</v>
      </c>
      <c r="G57" s="15" t="s">
        <v>230</v>
      </c>
      <c r="H57" s="8" t="s">
        <v>228</v>
      </c>
      <c r="I57" s="9">
        <v>46250</v>
      </c>
      <c r="J57" s="8"/>
      <c r="K57" s="8"/>
      <c r="L57" s="8"/>
      <c r="M57" s="2"/>
    </row>
    <row r="58" spans="1:13">
      <c r="A58" s="6"/>
      <c r="B58" s="6"/>
      <c r="C58" s="6"/>
      <c r="D58" s="6"/>
      <c r="E58" s="6"/>
      <c r="F58" s="6"/>
      <c r="G58" s="6"/>
      <c r="H58" s="6"/>
      <c r="I58" s="6"/>
      <c r="J58" s="6"/>
      <c r="K58" s="6"/>
      <c r="L58" s="6"/>
    </row>
    <row r="70" spans="13:13">
      <c r="M70" s="4" t="s">
        <v>231</v>
      </c>
    </row>
    <row r="71" spans="13:13">
      <c r="M71" s="3" t="s">
        <v>39</v>
      </c>
    </row>
    <row r="72" spans="13:13">
      <c r="M72" s="3" t="s">
        <v>229</v>
      </c>
    </row>
    <row r="73" spans="13:13">
      <c r="M73" s="3" t="s">
        <v>230</v>
      </c>
    </row>
    <row r="74" spans="13:13">
      <c r="M74" s="5" t="s">
        <v>3</v>
      </c>
    </row>
    <row r="75" spans="13:13">
      <c r="M75" s="25" t="s">
        <v>4</v>
      </c>
    </row>
  </sheetData>
  <autoFilter ref="A1:L57" xr:uid="{00000000-0001-0000-0200-000000000000}"/>
  <dataValidations count="2">
    <dataValidation type="list" allowBlank="1" showInputMessage="1" showErrorMessage="1" sqref="G58:G115" xr:uid="{1210C842-B0BE-400E-882F-F7207D6FFCF0}">
      <formula1>INDIRECT("Status")</formula1>
    </dataValidation>
    <dataValidation type="list" allowBlank="1" showInputMessage="1" showErrorMessage="1" sqref="G2:G57" xr:uid="{31CBAD55-0231-4BA0-8E15-D5106F209A2D}">
      <formula1>$M$71:$M$75</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1"/>
  <sheetViews>
    <sheetView workbookViewId="0">
      <pane ySplit="1" topLeftCell="A9" activePane="bottomLeft" state="frozen"/>
      <selection pane="bottomLeft" activeCell="G9" sqref="G9"/>
    </sheetView>
  </sheetViews>
  <sheetFormatPr defaultRowHeight="14.5"/>
  <cols>
    <col min="1" max="2" width="14" customWidth="1"/>
    <col min="3" max="3" width="22.81640625" customWidth="1"/>
    <col min="4" max="4" width="24.26953125" customWidth="1"/>
    <col min="5" max="5" width="12" customWidth="1"/>
    <col min="6" max="6" width="14" customWidth="1"/>
    <col min="7" max="7" width="18" customWidth="1"/>
    <col min="8" max="8" width="44" customWidth="1"/>
  </cols>
  <sheetData>
    <row r="1" spans="1:9">
      <c r="A1" s="7" t="s">
        <v>219</v>
      </c>
      <c r="B1" s="7" t="s">
        <v>30</v>
      </c>
      <c r="C1" s="7" t="s">
        <v>220</v>
      </c>
      <c r="D1" s="7" t="s">
        <v>244</v>
      </c>
      <c r="E1" s="7" t="s">
        <v>221</v>
      </c>
      <c r="F1" s="7" t="s">
        <v>28</v>
      </c>
      <c r="G1" s="7" t="s">
        <v>222</v>
      </c>
      <c r="H1" s="7" t="s">
        <v>17</v>
      </c>
    </row>
    <row r="2" spans="1:9">
      <c r="A2" s="18" t="s">
        <v>223</v>
      </c>
      <c r="B2" s="19">
        <v>46208</v>
      </c>
      <c r="C2" s="18" t="s">
        <v>33</v>
      </c>
      <c r="D2" s="18" t="s">
        <v>245</v>
      </c>
      <c r="E2" s="18" t="s">
        <v>238</v>
      </c>
      <c r="F2" s="18" t="s">
        <v>258</v>
      </c>
      <c r="G2" s="18" t="s">
        <v>228</v>
      </c>
      <c r="H2" s="18" t="s">
        <v>254</v>
      </c>
      <c r="I2" s="2"/>
    </row>
    <row r="3" spans="1:9">
      <c r="A3" s="18" t="s">
        <v>239</v>
      </c>
      <c r="B3" s="19">
        <v>46208</v>
      </c>
      <c r="C3" s="18" t="s">
        <v>44</v>
      </c>
      <c r="D3" s="18" t="s">
        <v>245</v>
      </c>
      <c r="E3" s="18" t="s">
        <v>240</v>
      </c>
      <c r="F3" s="18" t="s">
        <v>258</v>
      </c>
      <c r="G3" s="18" t="s">
        <v>228</v>
      </c>
      <c r="H3" s="18" t="s">
        <v>232</v>
      </c>
      <c r="I3" s="2"/>
    </row>
    <row r="4" spans="1:9" s="12" customFormat="1" ht="159.5">
      <c r="A4" s="20" t="s">
        <v>241</v>
      </c>
      <c r="B4" s="16">
        <v>46208</v>
      </c>
      <c r="C4" s="20" t="s">
        <v>108</v>
      </c>
      <c r="D4" s="20" t="s">
        <v>245</v>
      </c>
      <c r="E4" s="20" t="s">
        <v>240</v>
      </c>
      <c r="F4" s="20" t="s">
        <v>258</v>
      </c>
      <c r="G4" s="20" t="s">
        <v>228</v>
      </c>
      <c r="H4" s="21" t="s">
        <v>233</v>
      </c>
      <c r="I4" s="11"/>
    </row>
    <row r="5" spans="1:9">
      <c r="A5" s="18" t="s">
        <v>242</v>
      </c>
      <c r="B5" s="19">
        <v>46208</v>
      </c>
      <c r="C5" s="18" t="s">
        <v>118</v>
      </c>
      <c r="D5" s="18" t="s">
        <v>245</v>
      </c>
      <c r="E5" s="18" t="s">
        <v>240</v>
      </c>
      <c r="F5" s="18" t="s">
        <v>258</v>
      </c>
      <c r="G5" s="18" t="s">
        <v>228</v>
      </c>
      <c r="H5" s="18" t="s">
        <v>243</v>
      </c>
      <c r="I5" s="2"/>
    </row>
    <row r="6" spans="1:9">
      <c r="A6" s="18" t="s">
        <v>246</v>
      </c>
      <c r="B6" s="19">
        <v>46208</v>
      </c>
      <c r="C6" s="18" t="s">
        <v>248</v>
      </c>
      <c r="D6" s="18" t="s">
        <v>249</v>
      </c>
      <c r="E6" s="18" t="s">
        <v>240</v>
      </c>
      <c r="F6" s="18" t="s">
        <v>258</v>
      </c>
      <c r="G6" s="18" t="s">
        <v>228</v>
      </c>
      <c r="H6" s="18" t="s">
        <v>247</v>
      </c>
      <c r="I6" s="2"/>
    </row>
    <row r="7" spans="1:9">
      <c r="A7" s="18" t="s">
        <v>250</v>
      </c>
      <c r="B7" s="19">
        <v>46208</v>
      </c>
      <c r="C7" s="18" t="s">
        <v>251</v>
      </c>
      <c r="D7" s="18" t="s">
        <v>252</v>
      </c>
      <c r="E7" s="18" t="s">
        <v>238</v>
      </c>
      <c r="F7" s="18" t="s">
        <v>258</v>
      </c>
      <c r="G7" s="18" t="s">
        <v>228</v>
      </c>
      <c r="H7" s="18" t="s">
        <v>236</v>
      </c>
      <c r="I7" s="2"/>
    </row>
    <row r="8" spans="1:9" s="17" customFormat="1" ht="290">
      <c r="A8" s="20" t="s">
        <v>255</v>
      </c>
      <c r="B8" s="16">
        <v>46208</v>
      </c>
      <c r="C8" s="23" t="s">
        <v>256</v>
      </c>
      <c r="D8" s="23" t="s">
        <v>257</v>
      </c>
      <c r="E8" s="23" t="s">
        <v>240</v>
      </c>
      <c r="F8" s="23" t="s">
        <v>258</v>
      </c>
      <c r="G8" s="23" t="s">
        <v>228</v>
      </c>
      <c r="H8" s="24" t="s">
        <v>259</v>
      </c>
      <c r="I8" s="22"/>
    </row>
    <row r="9" spans="1:9" ht="119" customHeight="1">
      <c r="A9" s="20" t="s">
        <v>261</v>
      </c>
      <c r="B9" s="20" t="s">
        <v>262</v>
      </c>
      <c r="C9" s="20" t="s">
        <v>122</v>
      </c>
      <c r="D9" s="20" t="s">
        <v>45</v>
      </c>
      <c r="E9" s="20" t="s">
        <v>240</v>
      </c>
      <c r="F9" s="20" t="s">
        <v>258</v>
      </c>
      <c r="G9" s="20" t="s">
        <v>228</v>
      </c>
      <c r="H9" s="20" t="s">
        <v>263</v>
      </c>
      <c r="I9" s="2"/>
    </row>
    <row r="10" spans="1:9">
      <c r="A10" s="8"/>
      <c r="B10" s="8"/>
      <c r="C10" s="8"/>
      <c r="D10" s="8"/>
      <c r="E10" s="8"/>
      <c r="F10" s="8"/>
      <c r="G10" s="8"/>
      <c r="H10" s="8"/>
      <c r="I10" s="2"/>
    </row>
    <row r="11" spans="1:9">
      <c r="A11" s="8"/>
      <c r="B11" s="8"/>
      <c r="C11" s="8"/>
      <c r="D11" s="8"/>
      <c r="E11" s="8"/>
      <c r="F11" s="8"/>
      <c r="G11" s="8"/>
      <c r="H11" s="8"/>
      <c r="I11" s="2"/>
    </row>
    <row r="12" spans="1:9">
      <c r="A12" s="8"/>
      <c r="B12" s="8"/>
      <c r="C12" s="8"/>
      <c r="D12" s="8"/>
      <c r="E12" s="8"/>
      <c r="F12" s="8"/>
      <c r="G12" s="8"/>
      <c r="H12" s="8"/>
      <c r="I12" s="2"/>
    </row>
    <row r="13" spans="1:9">
      <c r="A13" s="8"/>
      <c r="B13" s="8"/>
      <c r="C13" s="8"/>
      <c r="D13" s="8"/>
      <c r="E13" s="8"/>
      <c r="F13" s="8"/>
      <c r="G13" s="8"/>
      <c r="H13" s="8"/>
      <c r="I13" s="2"/>
    </row>
    <row r="14" spans="1:9">
      <c r="A14" s="8"/>
      <c r="B14" s="8"/>
      <c r="C14" s="8"/>
      <c r="D14" s="8"/>
      <c r="E14" s="8"/>
      <c r="F14" s="8"/>
      <c r="G14" s="8"/>
      <c r="H14" s="8"/>
      <c r="I14" s="2"/>
    </row>
    <row r="15" spans="1:9">
      <c r="A15" s="8"/>
      <c r="B15" s="8"/>
      <c r="C15" s="8"/>
      <c r="D15" s="8"/>
      <c r="E15" s="8"/>
      <c r="F15" s="8"/>
      <c r="G15" s="8"/>
      <c r="H15" s="8"/>
      <c r="I15" s="2"/>
    </row>
    <row r="16" spans="1:9">
      <c r="A16" s="8"/>
      <c r="B16" s="8"/>
      <c r="C16" s="8"/>
      <c r="D16" s="8"/>
      <c r="E16" s="8"/>
      <c r="F16" s="8"/>
      <c r="G16" s="8"/>
      <c r="H16" s="8"/>
      <c r="I16" s="2"/>
    </row>
    <row r="17" spans="1:9">
      <c r="A17" s="8"/>
      <c r="B17" s="8"/>
      <c r="C17" s="8"/>
      <c r="D17" s="8"/>
      <c r="E17" s="8"/>
      <c r="F17" s="8"/>
      <c r="G17" s="8"/>
      <c r="H17" s="8"/>
      <c r="I17" s="2"/>
    </row>
    <row r="18" spans="1:9">
      <c r="A18" s="8"/>
      <c r="B18" s="8"/>
      <c r="C18" s="8"/>
      <c r="D18" s="8"/>
      <c r="E18" s="8"/>
      <c r="F18" s="8"/>
      <c r="G18" s="8"/>
      <c r="H18" s="8"/>
      <c r="I18" s="2"/>
    </row>
    <row r="19" spans="1:9">
      <c r="A19" s="8"/>
      <c r="B19" s="8"/>
      <c r="C19" s="8"/>
      <c r="D19" s="8"/>
      <c r="E19" s="8"/>
      <c r="F19" s="8"/>
      <c r="G19" s="8"/>
      <c r="H19" s="8"/>
      <c r="I19" s="2"/>
    </row>
    <row r="20" spans="1:9">
      <c r="A20" s="8"/>
      <c r="B20" s="8"/>
      <c r="C20" s="8"/>
      <c r="D20" s="8"/>
      <c r="E20" s="8"/>
      <c r="F20" s="8"/>
      <c r="G20" s="8"/>
      <c r="H20" s="8"/>
      <c r="I20" s="2"/>
    </row>
    <row r="21" spans="1:9">
      <c r="A21" s="8"/>
      <c r="B21" s="8"/>
      <c r="C21" s="8"/>
      <c r="D21" s="8"/>
      <c r="E21" s="8"/>
      <c r="F21" s="8"/>
      <c r="G21" s="8"/>
      <c r="H21" s="8"/>
      <c r="I21" s="2"/>
    </row>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2178DB-0617-4988-AA45-824F93BDB8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Test Accounts</vt:lpstr>
      <vt:lpstr>Checklist</vt:lpstr>
      <vt:lpstr>Defects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Swaroop Chakraborty</cp:lastModifiedBy>
  <dcterms:modified xsi:type="dcterms:W3CDTF">2026-08-15T21:14:05Z</dcterms:modified>
</cp:coreProperties>
</file>